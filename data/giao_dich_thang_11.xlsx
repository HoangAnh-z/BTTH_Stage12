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<sst xmlns="http://schemas.openxmlformats.org/spreadsheetml/2006/main" count="51" uniqueCount="33">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</sst>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B3" sqref="B3"/>
    </sheetView>
  </sheetViews>
  <sheetFormatPr defaultColWidth="9" defaultRowHeight="16.8" outlineLevelCol="5"/>
  <cols>
    <col min="4" max="4" width="18.234375" customWidth="1"/>
    <col min="5" max="5" width="16.796875" customWidth="1"/>
    <col min="6" max="6" width="16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VLOOKUP($B$2,VatPham!$A$2:$C$7,2,0)</f>
        <v>Ao Giap Vang</v>
      </c>
      <c r="E2">
        <f>VLOOKUP($B$2,VatPham!$A$2:$C$7,3,0)</f>
        <v>250000</v>
      </c>
      <c r="F2">
        <f>C2*E2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VLOOKUP($B$2,VatPham!$A$2:$C$7,2,0)</f>
        <v>Ao Giap Vang</v>
      </c>
      <c r="E3">
        <f>VLOOKUP($B$2,VatPham!$A$2:$C$7,3,0)</f>
        <v>250000</v>
      </c>
      <c r="F3">
        <f t="shared" ref="F3:F16" si="0">C3*E3</f>
        <v>250000</v>
      </c>
    </row>
    <row r="4" spans="1:6">
      <c r="A4" t="s">
        <v>10</v>
      </c>
      <c r="B4" t="s">
        <v>11</v>
      </c>
      <c r="C4">
        <v>5</v>
      </c>
      <c r="D4" t="str">
        <f>VLOOKUP($B$2,VatPham!$A$2:$C$7,2,0)</f>
        <v>Ao Giap Vang</v>
      </c>
      <c r="E4">
        <f>VLOOKUP($B$2,VatPham!$A$2:$C$7,3,0)</f>
        <v>250000</v>
      </c>
      <c r="F4">
        <f t="shared" si="0"/>
        <v>1250000</v>
      </c>
    </row>
    <row r="5" spans="1:6">
      <c r="A5" t="s">
        <v>12</v>
      </c>
      <c r="B5" t="s">
        <v>9</v>
      </c>
      <c r="C5">
        <v>5</v>
      </c>
      <c r="D5" t="str">
        <f>VLOOKUP($B$2,VatPham!$A$2:$C$7,2,0)</f>
        <v>Ao Giap Vang</v>
      </c>
      <c r="E5">
        <f>VLOOKUP($B$2,VatPham!$A$2:$C$7,3,0)</f>
        <v>250000</v>
      </c>
      <c r="F5">
        <f t="shared" si="0"/>
        <v>1250000</v>
      </c>
    </row>
    <row r="6" spans="1:6">
      <c r="A6" t="s">
        <v>13</v>
      </c>
      <c r="B6" t="s">
        <v>14</v>
      </c>
      <c r="C6">
        <v>3</v>
      </c>
      <c r="D6" t="str">
        <f>VLOOKUP($B$2,VatPham!$A$2:$C$7,2,0)</f>
        <v>Ao Giap Vang</v>
      </c>
      <c r="E6">
        <f>VLOOKUP($B$2,VatPham!$A$2:$C$7,3,0)</f>
        <v>250000</v>
      </c>
      <c r="F6">
        <f t="shared" si="0"/>
        <v>750000</v>
      </c>
    </row>
    <row r="7" spans="1:6">
      <c r="A7" t="s">
        <v>15</v>
      </c>
      <c r="B7" t="s">
        <v>9</v>
      </c>
      <c r="C7">
        <v>4</v>
      </c>
      <c r="D7" t="str">
        <f>VLOOKUP($B$2,VatPham!$A$2:$C$7,2,0)</f>
        <v>Ao Giap Vang</v>
      </c>
      <c r="E7">
        <f>VLOOKUP($B$2,VatPham!$A$2:$C$7,3,0)</f>
        <v>250000</v>
      </c>
      <c r="F7">
        <f t="shared" si="0"/>
        <v>1000000</v>
      </c>
    </row>
    <row r="8" spans="1:6">
      <c r="A8" t="s">
        <v>16</v>
      </c>
      <c r="B8" t="s">
        <v>11</v>
      </c>
      <c r="C8">
        <v>6</v>
      </c>
      <c r="D8" t="str">
        <f>VLOOKUP($B$2,VatPham!$A$2:$C$7,2,0)</f>
        <v>Ao Giap Vang</v>
      </c>
      <c r="E8">
        <f>VLOOKUP($B$2,VatPham!$A$2:$C$7,3,0)</f>
        <v>250000</v>
      </c>
      <c r="F8">
        <f t="shared" si="0"/>
        <v>1500000</v>
      </c>
    </row>
    <row r="9" hidden="1" spans="1:6">
      <c r="A9" t="s">
        <v>17</v>
      </c>
      <c r="B9" t="s">
        <v>18</v>
      </c>
      <c r="C9">
        <v>1</v>
      </c>
      <c r="D9" t="str">
        <f>VLOOKUP($B$2,VatPham!$A$2:$C$7,2,0)</f>
        <v>Ao Giap Vang</v>
      </c>
      <c r="E9">
        <f>VLOOKUP($B$2,VatPham!$A$2:$C$7,3,0)</f>
        <v>250000</v>
      </c>
      <c r="F9">
        <f t="shared" si="0"/>
        <v>250000</v>
      </c>
    </row>
    <row r="10" spans="1:6">
      <c r="A10" t="s">
        <v>19</v>
      </c>
      <c r="B10" t="s">
        <v>14</v>
      </c>
      <c r="C10">
        <v>2</v>
      </c>
      <c r="D10" t="str">
        <f>VLOOKUP($B$2,VatPham!$A$2:$C$7,2,0)</f>
        <v>Ao Giap Vang</v>
      </c>
      <c r="E10">
        <f>VLOOKUP($B$2,VatPham!$A$2:$C$7,3,0)</f>
        <v>250000</v>
      </c>
      <c r="F10">
        <f t="shared" si="0"/>
        <v>500000</v>
      </c>
    </row>
    <row r="11" spans="1:6">
      <c r="A11" t="s">
        <v>20</v>
      </c>
      <c r="B11" t="s">
        <v>7</v>
      </c>
      <c r="C11">
        <v>4</v>
      </c>
      <c r="D11" t="str">
        <f>VLOOKUP($B$2,VatPham!$A$2:$C$7,2,0)</f>
        <v>Ao Giap Vang</v>
      </c>
      <c r="E11">
        <f>VLOOKUP($B$2,VatPham!$A$2:$C$7,3,0)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VLOOKUP($B$2,VatPham!$A$2:$C$7,2,0)</f>
        <v>Ao Giap Vang</v>
      </c>
      <c r="E12">
        <f>VLOOKUP($B$2,VatPham!$A$2:$C$7,3,0)</f>
        <v>250000</v>
      </c>
      <c r="F12">
        <f t="shared" si="0"/>
        <v>1250000</v>
      </c>
    </row>
    <row r="13" spans="1:6">
      <c r="A13" t="s">
        <v>22</v>
      </c>
      <c r="B13" t="s">
        <v>7</v>
      </c>
      <c r="C13">
        <v>2</v>
      </c>
      <c r="D13" t="str">
        <f>VLOOKUP($B$2,VatPham!$A$2:$C$7,2,0)</f>
        <v>Ao Giap Vang</v>
      </c>
      <c r="E13">
        <f>VLOOKUP($B$2,VatPham!$A$2:$C$7,3,0)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VLOOKUP($B$2,VatPham!$A$2:$C$7,2,0)</f>
        <v>Ao Giap Vang</v>
      </c>
      <c r="E14">
        <f>VLOOKUP($B$2,VatPham!$A$2:$C$7,3,0)</f>
        <v>250000</v>
      </c>
      <c r="F14">
        <f t="shared" si="0"/>
        <v>250000</v>
      </c>
    </row>
    <row r="15" spans="1:6">
      <c r="A15" t="s">
        <v>25</v>
      </c>
      <c r="B15" t="s">
        <v>24</v>
      </c>
      <c r="C15">
        <v>2</v>
      </c>
      <c r="D15" t="str">
        <f>VLOOKUP($B$2,VatPham!$A$2:$C$7,2,0)</f>
        <v>Ao Giap Vang</v>
      </c>
      <c r="E15">
        <f>VLOOKUP($B$2,VatPham!$A$2:$C$7,3,0)</f>
        <v>250000</v>
      </c>
      <c r="F15">
        <f t="shared" si="0"/>
        <v>500000</v>
      </c>
    </row>
    <row r="16" spans="1:6">
      <c r="A16" t="s">
        <v>26</v>
      </c>
      <c r="B16" t="s">
        <v>7</v>
      </c>
      <c r="C16">
        <v>5</v>
      </c>
      <c r="D16" t="str">
        <f>VLOOKUP($B$2,VatPham!$A$2:$C$7,2,0)</f>
        <v>Ao Giap Vang</v>
      </c>
      <c r="E16">
        <f>VLOOKUP($B$2,VatPham!$A$2:$C$7,3,0)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2" sqref="C2"/>
    </sheetView>
  </sheetViews>
  <sheetFormatPr defaultColWidth="9" defaultRowHeight="16.8" outlineLevelRow="6" outlineLevelCol="2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</cp:lastModifiedBy>
  <dcterms:created xsi:type="dcterms:W3CDTF">2026-10-26T11:25:00Z</dcterms:created>
  <dcterms:modified xsi:type="dcterms:W3CDTF">2026-10-26T14:28:14Z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179EBED813A71C0C0E01DF6A732CBB86_42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